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ebd8b5e977b0446/Documents/Project64/hardware/"/>
    </mc:Choice>
  </mc:AlternateContent>
  <xr:revisionPtr revIDLastSave="28" documentId="11_8B55FC6707B485E0BE3B7CF547F66EFBC1D6D018" xr6:coauthVersionLast="47" xr6:coauthVersionMax="47" xr10:uidLastSave="{2F45081E-8067-4D87-A4AC-B781650F2728}"/>
  <bookViews>
    <workbookView xWindow="-108" yWindow="-108" windowWidth="23256" windowHeight="14616" xr2:uid="{00000000-000D-0000-FFFF-FFFF00000000}"/>
  </bookViews>
  <sheets>
    <sheet name="Gantry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<sst xmlns="http://schemas.openxmlformats.org/spreadsheetml/2006/main" count="58" uniqueCount="58">
  <si>
    <t>Item Description</t>
  </si>
  <si>
    <t>Qty</t>
  </si>
  <si>
    <t>Unit Price</t>
  </si>
  <si>
    <t>Total Price</t>
  </si>
  <si>
    <t>Amazon Link</t>
  </si>
  <si>
    <t>Notes</t>
  </si>
  <si>
    <t>2020 V-Slot Aluminum Extrusions 800mm (4-Pack)</t>
  </si>
  <si>
    <t>https://www.amazon.com/dp/B0B7DYJLL8</t>
  </si>
  <si>
    <t>Cut to size for 720x600mm: 2 rails trimmed to 720mm (Y-axis) + 1 rail trimmed to 600mm (X-crossbar) + 1 frame/spare</t>
  </si>
  <si>
    <t>2020 V-Slot Gantry Plate Kit with POM Wheels (4-Pack)</t>
  </si>
  <si>
    <t>https://www.amazon.com/dp/B0CHYS3G96</t>
  </si>
  <si>
    <t>Linear motion plates: 1 carriage for electromagnet + 2 for X-crossbar Y-slides</t>
  </si>
  <si>
    <t>NEMA 17 Stepper Motors 1.5A 42Ncm (3-Pack)</t>
  </si>
  <si>
    <t>https://www.amazon.com/dp/B0B38GHRH8</t>
  </si>
  <si>
    <t>X &amp; Y axis actuation (includes 1m connector cables)</t>
  </si>
  <si>
    <t>BIGTREETECH TMC2209 Stepper Drivers V1.3</t>
  </si>
  <si>
    <t>https://www.amazon.com/dp/B07ZQ3C1XW</t>
  </si>
  <si>
    <t>Silent motor drivers for ESP32/stepper control</t>
  </si>
  <si>
    <t>GT2 Timing Belt 10 Meters (6mm Width, 2mm Pitch)</t>
  </si>
  <si>
    <t>https://www.amazon.com/dp/B08974S1CC</t>
  </si>
  <si>
    <t>10m continuous length (provides ample length for 720mm x 600mm dual-Y and X loops)</t>
  </si>
  <si>
    <t>GT2 Timing Belt Pulleys 20T 5mm Bore (5-Pack)</t>
  </si>
  <si>
    <t>https://www.amazon.com/dp/B077GNZK3J</t>
  </si>
  <si>
    <t>Synchronous drive pulleys for NEMA 17 motor shafts</t>
  </si>
  <si>
    <t>GT2 Idler Pulleys 20T 5mm Bore with Bearings (5-Pack)</t>
  </si>
  <si>
    <t>https://www.amazon.com/dp/B07BPGYX3G</t>
  </si>
  <si>
    <t>Smooth idler pulleys for belt returns and tensioning</t>
  </si>
  <si>
    <t>NEMA 17 Motor Mounting Brackets (2-Pack)</t>
  </si>
  <si>
    <t>https://www.amazon.com/dp/B0CRQCT8J5</t>
  </si>
  <si>
    <t>Mounts stepper motors to 2020 extrusion frame</t>
  </si>
  <si>
    <t>Mechanical Endstop Limit Switches (5-Pack)</t>
  </si>
  <si>
    <t>https://www.amazon.com/dp/B09K7K3486</t>
  </si>
  <si>
    <t>X &amp; Y homing calibration (3-pin with wiring)</t>
  </si>
  <si>
    <t>M5 T-Nuts &amp; Hex Socket Screws Kit for 2020</t>
  </si>
  <si>
    <t>https://www.amazon.com/dp/B0DMCS8KW4</t>
  </si>
  <si>
    <t>Fasteners for attaching brackets, motors, and rails</t>
  </si>
  <si>
    <t>2020 Aluminum Extrusion Corner Brackets (20-Pack with Hardware)</t>
  </si>
  <si>
    <t>https://www.amazon.com/dp/B0FFB3BGXG</t>
  </si>
  <si>
    <t>Rigid 90-degree frame assembly for 720x600mm outer perimeter</t>
  </si>
  <si>
    <t>12V 5A DC Power Supply Adapter (60W, 5.5x2.5/2.1mm)</t>
  </si>
  <si>
    <t>https://www.amazon.com/dp/B01GEA8PQA</t>
  </si>
  <si>
    <t>Main system power (steppers + 12V electromagnet)</t>
  </si>
  <si>
    <t>5.5 x 2.1mm DC Power Jack Female Panel Mount (6-Pack)</t>
  </si>
  <si>
    <t>https://www.amazon.com/dp/B0D9B7WR23</t>
  </si>
  <si>
    <t>Chassis DC power input socket</t>
  </si>
  <si>
    <t>LM2596 DC-DC Buck Converter Step-Down Modules (5-Pack)</t>
  </si>
  <si>
    <t>https://www.amazon.com/dp/B0DBVYP91F</t>
  </si>
  <si>
    <t>Steps 12V down to 5V/3.3V logic power</t>
  </si>
  <si>
    <t>Dual High-Power MOSFET Switch Trigger Module (6-Pack)</t>
  </si>
  <si>
    <t>https://www.amazon.com/dp/B0FMJH3DML</t>
  </si>
  <si>
    <t>ESP32 PWM / GPIO control for 12V electromagnet on/off</t>
  </si>
  <si>
    <t>1N5819 Schottky Flyback Diodes</t>
  </si>
  <si>
    <t>https://www.amazon.com/dp/B0FC2CWKPL</t>
  </si>
  <si>
    <t>Flyback protection across electromagnet coil</t>
  </si>
  <si>
    <t>22 AWG Stranded Hook-Up Wire Kit (6 Colors)</t>
  </si>
  <si>
    <t>https://www.amazon.com/dp/B089CQHRDT</t>
  </si>
  <si>
    <t>Power &amp; motor wiring harnesses (ample length for 720mm runs)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</si>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</sst>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EE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CRQCT8J5" TargetMode="External"/><Relationship Id="rId13" Type="http://schemas.openxmlformats.org/officeDocument/2006/relationships/hyperlink" Target="https://www.amazon.com/dp/B0D9B7WR23" TargetMode="External"/><Relationship Id="rId3" Type="http://schemas.openxmlformats.org/officeDocument/2006/relationships/hyperlink" Target="https://www.amazon.com/dp/B0B38GHRH8" TargetMode="External"/><Relationship Id="rId7" Type="http://schemas.openxmlformats.org/officeDocument/2006/relationships/hyperlink" Target="https://www.amazon.com/dp/B07BPGYX3G" TargetMode="External"/><Relationship Id="rId12" Type="http://schemas.openxmlformats.org/officeDocument/2006/relationships/hyperlink" Target="https://www.amazon.com/dp/B01GEA8PQA" TargetMode="External"/><Relationship Id="rId17" Type="http://schemas.openxmlformats.org/officeDocument/2006/relationships/hyperlink" Target="https://www.amazon.com/dp/B089CQHRDT" TargetMode="External"/><Relationship Id="rId2" Type="http://schemas.openxmlformats.org/officeDocument/2006/relationships/hyperlink" Target="https://www.amazon.com/dp/B0CHYS3G96" TargetMode="External"/><Relationship Id="rId16" Type="http://schemas.openxmlformats.org/officeDocument/2006/relationships/hyperlink" Target="https://www.amazon.com/dp/B0FC2CWKPL" TargetMode="External"/><Relationship Id="rId1" Type="http://schemas.openxmlformats.org/officeDocument/2006/relationships/hyperlink" Target="https://www.amazon.com/dp/B0B7DYJLL8" TargetMode="External"/><Relationship Id="rId6" Type="http://schemas.openxmlformats.org/officeDocument/2006/relationships/hyperlink" Target="https://www.amazon.com/dp/B077GNZK3J" TargetMode="External"/><Relationship Id="rId11" Type="http://schemas.openxmlformats.org/officeDocument/2006/relationships/hyperlink" Target="https://www.amazon.com/dp/B0FFB3BGXG" TargetMode="External"/><Relationship Id="rId5" Type="http://schemas.openxmlformats.org/officeDocument/2006/relationships/hyperlink" Target="https://www.amazon.com/dp/B08974S1CC" TargetMode="External"/><Relationship Id="rId15" Type="http://schemas.openxmlformats.org/officeDocument/2006/relationships/hyperlink" Target="https://www.amazon.com/dp/B0FMJH3DML" TargetMode="External"/><Relationship Id="rId10" Type="http://schemas.openxmlformats.org/officeDocument/2006/relationships/hyperlink" Target="https://www.amazon.com/dp/B0DMCS8KW4" TargetMode="External"/><Relationship Id="rId4" Type="http://schemas.openxmlformats.org/officeDocument/2006/relationships/hyperlink" Target="https://www.amazon.com/dp/B07ZQ3C1XW" TargetMode="External"/><Relationship Id="rId9" Type="http://schemas.openxmlformats.org/officeDocument/2006/relationships/hyperlink" Target="https://www.amazon.com/dp/B09K7K3486" TargetMode="External"/><Relationship Id="rId14" Type="http://schemas.openxmlformats.org/officeDocument/2006/relationships/hyperlink" Target="https://www.amazon.com/dp/B0DBVYP9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24" sqref="B24"/>
    </sheetView>
  </sheetViews>
  <sheetFormatPr defaultRowHeight="14.4" x14ac:dyDescent="0.3"/>
  <cols>
    <col min="1" max="1" width="65" customWidth="1"/>
    <col min="2" max="2" width="8" customWidth="1"/>
    <col min="3" max="3" width="12" customWidth="1"/>
    <col min="4" max="4" width="13" customWidth="1"/>
    <col min="5" max="5" width="38" customWidth="1"/>
    <col min="6" max="6" width="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1</v>
      </c>
      <c r="C2" s="4">
        <v>32.99</v>
      </c>
      <c r="D2" s="4">
        <f t="shared" ref="D2:D20" si="0">B2*C2</f>
        <v>32.99</v>
      </c>
      <c r="E2" s="5" t="s">
        <v>7</v>
      </c>
      <c r="F2" s="2" t="s">
        <v>8</v>
      </c>
    </row>
    <row r="3" spans="1:6" x14ac:dyDescent="0.3">
      <c r="A3" s="2" t="s">
        <v>9</v>
      </c>
      <c r="B3" s="3">
        <v>1</v>
      </c>
      <c r="C3" s="4">
        <v>22.47</v>
      </c>
      <c r="D3" s="4">
        <f t="shared" si="0"/>
        <v>22.47</v>
      </c>
      <c r="E3" s="5" t="s">
        <v>10</v>
      </c>
      <c r="F3" s="2" t="s">
        <v>11</v>
      </c>
    </row>
    <row r="4" spans="1:6" x14ac:dyDescent="0.3">
      <c r="A4" s="2" t="s">
        <v>12</v>
      </c>
      <c r="B4" s="3">
        <v>1</v>
      </c>
      <c r="C4" s="4">
        <v>25.99</v>
      </c>
      <c r="D4" s="4">
        <f t="shared" si="0"/>
        <v>25.99</v>
      </c>
      <c r="E4" s="5" t="s">
        <v>13</v>
      </c>
      <c r="F4" s="2" t="s">
        <v>14</v>
      </c>
    </row>
    <row r="5" spans="1:6" x14ac:dyDescent="0.3">
      <c r="A5" s="2" t="s">
        <v>15</v>
      </c>
      <c r="B5" s="3">
        <v>1</v>
      </c>
      <c r="C5" s="4">
        <v>26.99</v>
      </c>
      <c r="D5" s="4">
        <f t="shared" si="0"/>
        <v>26.99</v>
      </c>
      <c r="E5" s="5" t="s">
        <v>16</v>
      </c>
      <c r="F5" s="2" t="s">
        <v>17</v>
      </c>
    </row>
    <row r="6" spans="1:6" x14ac:dyDescent="0.3">
      <c r="A6" s="2" t="s">
        <v>18</v>
      </c>
      <c r="B6" s="3">
        <v>1</v>
      </c>
      <c r="C6" s="4">
        <v>13.99</v>
      </c>
      <c r="D6" s="4">
        <f t="shared" si="0"/>
        <v>13.99</v>
      </c>
      <c r="E6" s="5" t="s">
        <v>19</v>
      </c>
      <c r="F6" s="2" t="s">
        <v>20</v>
      </c>
    </row>
    <row r="7" spans="1:6" x14ac:dyDescent="0.3">
      <c r="A7" s="2" t="s">
        <v>21</v>
      </c>
      <c r="B7" s="3">
        <v>1</v>
      </c>
      <c r="C7" s="4">
        <v>6.99</v>
      </c>
      <c r="D7" s="4">
        <f t="shared" si="0"/>
        <v>6.99</v>
      </c>
      <c r="E7" s="5" t="s">
        <v>22</v>
      </c>
      <c r="F7" s="2" t="s">
        <v>23</v>
      </c>
    </row>
    <row r="8" spans="1:6" x14ac:dyDescent="0.3">
      <c r="A8" s="2" t="s">
        <v>24</v>
      </c>
      <c r="B8" s="3">
        <v>1</v>
      </c>
      <c r="C8" s="4">
        <v>8.99</v>
      </c>
      <c r="D8" s="4">
        <f t="shared" si="0"/>
        <v>8.99</v>
      </c>
      <c r="E8" s="5" t="s">
        <v>25</v>
      </c>
      <c r="F8" s="2" t="s">
        <v>26</v>
      </c>
    </row>
    <row r="9" spans="1:6" x14ac:dyDescent="0.3">
      <c r="A9" s="2" t="s">
        <v>27</v>
      </c>
      <c r="B9" s="3">
        <v>1</v>
      </c>
      <c r="C9" s="4">
        <v>8.99</v>
      </c>
      <c r="D9" s="4">
        <f t="shared" si="0"/>
        <v>8.99</v>
      </c>
      <c r="E9" s="5" t="s">
        <v>28</v>
      </c>
      <c r="F9" s="2" t="s">
        <v>29</v>
      </c>
    </row>
    <row r="10" spans="1:6" x14ac:dyDescent="0.3">
      <c r="A10" s="2" t="s">
        <v>30</v>
      </c>
      <c r="B10" s="3">
        <v>1</v>
      </c>
      <c r="C10" s="4">
        <v>7.99</v>
      </c>
      <c r="D10" s="4">
        <f t="shared" si="0"/>
        <v>7.99</v>
      </c>
      <c r="E10" s="5" t="s">
        <v>31</v>
      </c>
      <c r="F10" s="2" t="s">
        <v>32</v>
      </c>
    </row>
    <row r="11" spans="1:6" x14ac:dyDescent="0.3">
      <c r="A11" s="2" t="s">
        <v>33</v>
      </c>
      <c r="B11" s="3">
        <v>1</v>
      </c>
      <c r="C11" s="4">
        <v>12.99</v>
      </c>
      <c r="D11" s="4">
        <f t="shared" si="0"/>
        <v>12.99</v>
      </c>
      <c r="E11" s="5" t="s">
        <v>34</v>
      </c>
      <c r="F11" s="2" t="s">
        <v>35</v>
      </c>
    </row>
    <row r="12" spans="1:6" x14ac:dyDescent="0.3">
      <c r="A12" s="2" t="s">
        <v>36</v>
      </c>
      <c r="B12" s="3">
        <v>1</v>
      </c>
      <c r="C12" s="4">
        <v>14.99</v>
      </c>
      <c r="D12" s="4">
        <f t="shared" si="0"/>
        <v>14.99</v>
      </c>
      <c r="E12" s="5" t="s">
        <v>37</v>
      </c>
      <c r="F12" s="2" t="s">
        <v>38</v>
      </c>
    </row>
    <row r="13" spans="1:6" x14ac:dyDescent="0.3">
      <c r="A13" s="2" t="s">
        <v>39</v>
      </c>
      <c r="B13" s="3">
        <v>1</v>
      </c>
      <c r="C13" s="4">
        <v>12.99</v>
      </c>
      <c r="D13" s="4">
        <f t="shared" si="0"/>
        <v>12.99</v>
      </c>
      <c r="E13" s="5" t="s">
        <v>40</v>
      </c>
      <c r="F13" s="2" t="s">
        <v>41</v>
      </c>
    </row>
    <row r="14" spans="1:6" x14ac:dyDescent="0.3">
      <c r="A14" s="2" t="s">
        <v>42</v>
      </c>
      <c r="B14" s="3">
        <v>1</v>
      </c>
      <c r="C14" s="4">
        <v>9.99</v>
      </c>
      <c r="D14" s="4">
        <f t="shared" si="0"/>
        <v>9.99</v>
      </c>
      <c r="E14" s="5" t="s">
        <v>43</v>
      </c>
      <c r="F14" s="2" t="s">
        <v>44</v>
      </c>
    </row>
    <row r="15" spans="1:6" x14ac:dyDescent="0.3">
      <c r="A15" s="2" t="s">
        <v>45</v>
      </c>
      <c r="B15" s="3">
        <v>1</v>
      </c>
      <c r="C15" s="4">
        <v>7.99</v>
      </c>
      <c r="D15" s="4">
        <f t="shared" si="0"/>
        <v>7.99</v>
      </c>
      <c r="E15" s="5" t="s">
        <v>46</v>
      </c>
      <c r="F15" s="2" t="s">
        <v>47</v>
      </c>
    </row>
    <row r="16" spans="1:6" x14ac:dyDescent="0.3">
      <c r="A16" s="2" t="s">
        <v>48</v>
      </c>
      <c r="B16" s="3">
        <v>1</v>
      </c>
      <c r="C16" s="4">
        <v>5.49</v>
      </c>
      <c r="D16" s="4">
        <f t="shared" si="0"/>
        <v>5.49</v>
      </c>
      <c r="E16" s="5" t="s">
        <v>49</v>
      </c>
      <c r="F16" s="2" t="s">
        <v>50</v>
      </c>
    </row>
    <row r="17" spans="1:6" x14ac:dyDescent="0.3">
      <c r="A17" s="2" t="s">
        <v>51</v>
      </c>
      <c r="B17" s="3">
        <v>1</v>
      </c>
      <c r="C17" s="4">
        <v>7.99</v>
      </c>
      <c r="D17" s="4">
        <f t="shared" si="0"/>
        <v>7.99</v>
      </c>
      <c r="E17" s="5" t="s">
        <v>52</v>
      </c>
      <c r="F17" s="2" t="s">
        <v>53</v>
      </c>
    </row>
    <row r="18" spans="1:6" x14ac:dyDescent="0.3">
      <c r="A18" s="2" t="s">
        <v>54</v>
      </c>
      <c r="B18" s="3">
        <v>1</v>
      </c>
      <c r="C18" s="4">
        <v>12.79</v>
      </c>
      <c r="D18" s="4">
        <f t="shared" ref="D18" si="1">B18*C18</f>
        <v>12.79</v>
      </c>
      <c r="E18" s="5" t="s">
        <v>55</v>
      </c>
      <c r="F18" s="2" t="s">
        <v>56</v>
      </c>
    </row>
    <row r="19" spans="1:6" x14ac:dyDescent="0.3">
      <c r="A19" s="6" t="s">
        <v>57</v>
      </c>
      <c r="B19" s="3"/>
      <c r="C19" s="4"/>
      <c r="D19" s="4">
        <f>SUM(D2:D18)</f>
        <v>240.61000000000007</v>
      </c>
      <c r="E19" s="5"/>
      <c r="F19" s="2"/>
    </row>
    <row r="20" spans="1:6" x14ac:dyDescent="0.3">
      <c r="A20" s="2"/>
      <c r="B20" s="3"/>
      <c r="C20" s="4"/>
      <c r="D20" s="4"/>
      <c r="E20" s="5"/>
      <c r="F20" s="2"/>
    </row>
    <row r="21" spans="1:6" x14ac:dyDescent="0.3">
      <c r="A21" s="6"/>
      <c r="D21" s="7"/>
    </row>
    <row r="23" spans="1:6" x14ac:dyDescent="0.3">
      <c r="A23" s="8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6118C27C-08C3-43C2-9498-DB4C8C70CF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Gantry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Norbom</cp:lastModifiedBy>
  <dcterms:created xsi:type="dcterms:W3CDTF">2026-10-28T14:48:52Z</dcterms:created>
  <dcterms:modified xsi:type="dcterms:W3CDTF">2026-10-28T16:41:44Z</dcterms:modified>
</cp:coreProperties>
</file>